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Financeiro" sheetId="1" state="visible" r:id="rId1"/>
    <sheet xmlns:r="http://schemas.openxmlformats.org/officeDocument/2006/relationships" name="Gastos Mensais" sheetId="2" state="visible" r:id="rId2"/>
    <sheet xmlns:r="http://schemas.openxmlformats.org/officeDocument/2006/relationships" name="Metas Financeiras" sheetId="3" state="visible" r:id="rId3"/>
    <sheet xmlns:r="http://schemas.openxmlformats.org/officeDocument/2006/relationships" name="Planejamento de Dív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3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  <xf numFmtId="4" fontId="2" fillId="0" borderId="0" applyAlignment="1" pivotButton="0" quotePrefix="0" xfId="0">
      <alignment/>
    </xf>
    <xf numFmtId="10" fontId="2" fillId="0" borderId="0" applyAlignment="1" pivotButton="0" quotePrefix="0" xfId="0">
      <alignment/>
    </xf>
    <xf numFmtId="0" fontId="2" fillId="0" borderId="0" applyAlignment="1" pivotButton="0" quotePrefix="0" xfId="0">
      <alignment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Progresso das Metas Financeiras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'Metas Financeiras'!D1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'Metas Financeiras'!$A$2:$A$4</f>
            </numRef>
          </cat>
          <val>
            <numRef>
              <f>'Metas Financeiras'!$D$2:$D$4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Concluído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dos Gastos Mensais</a:t>
            </a:r>
          </a:p>
        </rich>
      </tx>
    </title>
    <plotArea>
      <pieChart>
        <varyColors val="1"/>
        <ser>
          <idx val="0"/>
          <order val="0"/>
          <tx>
            <strRef>
              <f>'Gastos Mensais'!C1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'Gastos Mensais'!$A$2:$A$5</f>
            </numRef>
          </cat>
          <val>
            <numRef>
              <f>'Gastos Mensais'!$C$2:$C$5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4" t="inlineStr">
        <is>
          <t>Resumo Financeiro</t>
        </is>
      </c>
      <c r="B1" s="5" t="n"/>
    </row>
    <row r="2">
      <c r="A2" s="6" t="inlineStr">
        <is>
          <t>Renda Mensal (R$)</t>
        </is>
      </c>
      <c r="B2" s="7" t="n">
        <v>4000</v>
      </c>
    </row>
    <row r="3">
      <c r="A3" s="6" t="inlineStr">
        <is>
          <t>Meta de Gastos (70%)</t>
        </is>
      </c>
      <c r="B3" s="7">
        <f>B2*0.7</f>
        <v/>
      </c>
    </row>
    <row r="4">
      <c r="A4" s="6" t="inlineStr">
        <is>
          <t>Meta de Poupança (30%)</t>
        </is>
      </c>
      <c r="B4" s="7">
        <f>B2*0.3</f>
        <v/>
      </c>
    </row>
    <row r="5">
      <c r="A5" s="5" t="n"/>
      <c r="B5" s="5" t="n"/>
    </row>
    <row r="6">
      <c r="A6" s="6" t="inlineStr">
        <is>
          <t>Total de Gastos (real)</t>
        </is>
      </c>
      <c r="B6" s="7">
        <f>Gastos Mensais!C6</f>
        <v/>
      </c>
    </row>
    <row r="7">
      <c r="A7" s="5" t="inlineStr">
        <is>
          <t>Total de Dívidas</t>
        </is>
      </c>
      <c r="B7" s="5">
        <f>SUM('Planejamento de Dívidas'!B2:B100)</f>
        <v/>
      </c>
    </row>
    <row r="8">
      <c r="A8" s="5" t="inlineStr">
        <is>
          <t>Total Pago em Dívidas</t>
        </is>
      </c>
      <c r="B8" s="5">
        <f>SUM('Planejamento de Dívidas'!D2:D100)</f>
        <v/>
      </c>
    </row>
    <row r="9">
      <c r="A9" s="5" t="inlineStr">
        <is>
          <t>Valor Restante em Dívidas</t>
        </is>
      </c>
      <c r="B9" s="5">
        <f>SUM('Planejamento de Dívidas'!E2:E100)</f>
        <v/>
      </c>
    </row>
    <row r="10">
      <c r="A10" s="5" t="n"/>
      <c r="B10" s="5" t="n"/>
    </row>
    <row r="11">
      <c r="A11" s="6" t="inlineStr">
        <is>
          <t>Percentual de Gastos sobre Meta</t>
        </is>
      </c>
      <c r="B11" s="8">
        <f>IF(B3=0,0,B6/B3)</f>
        <v/>
      </c>
    </row>
    <row r="12">
      <c r="A12" s="5" t="n"/>
      <c r="B12" s="5" t="n"/>
    </row>
    <row r="13">
      <c r="A13" s="6" t="inlineStr">
        <is>
          <t>Status</t>
        </is>
      </c>
      <c r="B13" s="5">
        <f>IF(B11&lt;=0.7,"🟢 Equilíbrio Financeiro - Dentro da meta",IF(B11&lt;=0.9,"🟡 Atenção - Aproximando da meta","🔴 Crítico - Gastos acima da meta"))</f>
        <v/>
      </c>
    </row>
    <row r="14">
      <c r="A14" s="5" t="n"/>
      <c r="B14" s="5" t="n"/>
    </row>
    <row r="15">
      <c r="A15" s="6" t="inlineStr">
        <is>
          <t>Observação:</t>
        </is>
      </c>
      <c r="B15" s="9" t="inlineStr">
        <is>
          <t>Altere a Renda Mensal em B2 para recalcular metas automaticamente.</t>
        </is>
      </c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</sheetData>
  <conditionalFormatting sqref="B11">
    <cfRule type="colorScale" priority="1">
      <colorScale>
        <cfvo type="num" val="0"/>
        <cfvo type="num" val="0.7"/>
        <cfvo type="num" val="1"/>
        <color rgb="0000B050"/>
        <color rgb="00FFFF00"/>
        <color rgb="00FF0000"/>
      </colorScale>
    </cfRule>
    <cfRule type="iconSet" priority="2">
      <iconSet iconSet="3TrafficLights1">
        <cfvo type="percent" val="0"/>
        <cfvo type="percent" val="50"/>
        <cfvo type="percent" val="100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Categoria</t>
        </is>
      </c>
      <c r="B1" s="1" t="inlineStr">
        <is>
          <t>Descrição</t>
        </is>
      </c>
      <c r="C1" s="1" t="inlineStr">
        <is>
          <t>Valor (R$)</t>
        </is>
      </c>
      <c r="D1" s="1" t="inlineStr">
        <is>
          <t>Data</t>
        </is>
      </c>
    </row>
    <row r="2">
      <c r="A2" t="inlineStr">
        <is>
          <t>Alimentação</t>
        </is>
      </c>
      <c r="B2" t="inlineStr">
        <is>
          <t>Supermercado</t>
        </is>
      </c>
      <c r="C2" t="n">
        <v>450</v>
      </c>
      <c r="D2" t="inlineStr">
        <is>
          <t>01/10/2025</t>
        </is>
      </c>
    </row>
    <row r="3">
      <c r="A3" t="inlineStr">
        <is>
          <t>Transporte</t>
        </is>
      </c>
      <c r="B3" t="inlineStr">
        <is>
          <t>Combustível</t>
        </is>
      </c>
      <c r="C3" t="n">
        <v>200</v>
      </c>
      <c r="D3" t="inlineStr">
        <is>
          <t>03/10/2025</t>
        </is>
      </c>
    </row>
    <row r="4">
      <c r="A4" t="inlineStr">
        <is>
          <t>Contas Fixas</t>
        </is>
      </c>
      <c r="B4" t="inlineStr">
        <is>
          <t>Aluguel</t>
        </is>
      </c>
      <c r="C4" t="n">
        <v>1200</v>
      </c>
      <c r="D4" t="inlineStr">
        <is>
          <t>05/10/2025</t>
        </is>
      </c>
    </row>
    <row r="5">
      <c r="A5" t="inlineStr">
        <is>
          <t>Lazer</t>
        </is>
      </c>
      <c r="B5" t="inlineStr">
        <is>
          <t>Cinema</t>
        </is>
      </c>
      <c r="C5" t="n">
        <v>80</v>
      </c>
      <c r="D5" t="inlineStr">
        <is>
          <t>10/10/2025</t>
        </is>
      </c>
    </row>
    <row r="6">
      <c r="A6" t="inlineStr">
        <is>
          <t>Total de Gastos:</t>
        </is>
      </c>
      <c r="C6">
        <f>SUM(C2:C5)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Meta</t>
        </is>
      </c>
      <c r="B1" s="2" t="inlineStr">
        <is>
          <t>Valor Necessário (R$)</t>
        </is>
      </c>
      <c r="C1" s="2" t="inlineStr">
        <is>
          <t>Valor Atual (R$)</t>
        </is>
      </c>
      <c r="D1" s="2" t="inlineStr">
        <is>
          <t>Progresso (%)</t>
        </is>
      </c>
    </row>
    <row r="2">
      <c r="A2" t="inlineStr">
        <is>
          <t>Reserva de Emergência</t>
        </is>
      </c>
      <c r="B2" t="n">
        <v>5000</v>
      </c>
      <c r="C2" t="n">
        <v>1200</v>
      </c>
      <c r="D2" s="10">
        <f>C2/B2*100</f>
        <v/>
      </c>
    </row>
    <row r="3">
      <c r="A3" t="inlineStr">
        <is>
          <t>Quitar Cartão de Crédito</t>
        </is>
      </c>
      <c r="B3" t="n">
        <v>2000</v>
      </c>
      <c r="C3" t="n">
        <v>500</v>
      </c>
      <c r="D3" s="10">
        <f>C3/B3*100</f>
        <v/>
      </c>
    </row>
    <row r="4">
      <c r="A4" t="inlineStr">
        <is>
          <t>Férias 2026</t>
        </is>
      </c>
      <c r="B4" t="n">
        <v>3000</v>
      </c>
      <c r="C4" t="n">
        <v>600</v>
      </c>
      <c r="D4" s="10">
        <f>C4/B4*100</f>
        <v/>
      </c>
    </row>
  </sheetData>
  <conditionalFormatting sqref="D2:D4">
    <cfRule type="colorScale" priority="1">
      <colorScale>
        <cfvo type="percent" val="0"/>
        <cfvo type="percent" val="50"/>
        <cfvo type="percent" val="100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Credor</t>
        </is>
      </c>
      <c r="B1" s="3" t="inlineStr">
        <is>
          <t>Valor Total (R$)</t>
        </is>
      </c>
      <c r="C1" s="3" t="inlineStr">
        <is>
          <t>Parcelas</t>
        </is>
      </c>
      <c r="D1" s="3" t="inlineStr">
        <is>
          <t>Valor Pago (R$)</t>
        </is>
      </c>
      <c r="E1" s="3" t="inlineStr">
        <is>
          <t>Restante (R$)</t>
        </is>
      </c>
    </row>
    <row r="2">
      <c r="A2" t="inlineStr">
        <is>
          <t>Banco X</t>
        </is>
      </c>
      <c r="B2" t="n">
        <v>3000</v>
      </c>
      <c r="C2" t="n">
        <v>10</v>
      </c>
      <c r="D2" t="n">
        <v>1200</v>
      </c>
      <c r="E2">
        <f>B2-D2</f>
        <v/>
      </c>
    </row>
    <row r="3">
      <c r="A3" t="inlineStr">
        <is>
          <t>Cartão Y</t>
        </is>
      </c>
      <c r="B3" t="n">
        <v>1500</v>
      </c>
      <c r="C3" t="n">
        <v>5</v>
      </c>
      <c r="D3" t="n">
        <v>600</v>
      </c>
      <c r="E3">
        <f>B3-D3</f>
        <v/>
      </c>
    </row>
    <row r="4">
      <c r="A4" t="inlineStr">
        <is>
          <t>Financiamento Z</t>
        </is>
      </c>
      <c r="B4" t="n">
        <v>8000</v>
      </c>
      <c r="C4" t="n">
        <v>24</v>
      </c>
      <c r="D4" t="n">
        <v>2000</v>
      </c>
      <c r="E4">
        <f>B4-D4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2025-10-18T17:36:51Z</dcterms:created>
  <dcterms:modified xmlns:dcterms="http://purl.org/dc/terms/" xmlns:xsi="http://www.w3.org/2001/XMLSchema-instance" xsi:type="dcterms:W3CDTF">2025-10-18T17:36:51Z</dcterms:modified>
</cp:coreProperties>
</file>